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User\Desktop\final_project\hardware\anchor\"/>
    </mc:Choice>
  </mc:AlternateContent>
  <xr:revisionPtr revIDLastSave="0" documentId="13_ncr:1_{E95BC74F-0F09-4B06-8D44-11E90E878208}" xr6:coauthVersionLast="47" xr6:coauthVersionMax="47" xr10:uidLastSave="{00000000-0000-0000-0000-000000000000}"/>
  <bookViews>
    <workbookView xWindow="10245" yWindow="0" windowWidth="10245" windowHeight="11070" xr2:uid="{F22AEE81-2B6D-4166-B917-6603E1BDE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8" i="1" l="1"/>
  <c r="L7" i="1"/>
  <c r="L5" i="1"/>
  <c r="L13" i="1"/>
  <c r="L21" i="1"/>
  <c r="L20" i="1"/>
  <c r="L18" i="1"/>
  <c r="L10" i="1"/>
  <c r="L14" i="1"/>
  <c r="L24" i="1"/>
  <c r="L23" i="1"/>
  <c r="L17" i="1"/>
  <c r="D27" i="1"/>
  <c r="D8" i="1"/>
  <c r="D20" i="1"/>
  <c r="D21" i="1"/>
  <c r="D10" i="1"/>
  <c r="D14" i="1"/>
  <c r="L22" i="1"/>
  <c r="D25" i="1"/>
  <c r="D26" i="1"/>
  <c r="L6" i="1"/>
  <c r="L9" i="1"/>
  <c r="L4" i="1"/>
  <c r="D28" i="1"/>
  <c r="D15" i="1"/>
  <c r="D16" i="1"/>
  <c r="D17" i="1"/>
  <c r="D18" i="1"/>
  <c r="D19" i="1"/>
  <c r="D22" i="1"/>
  <c r="D13" i="1"/>
  <c r="D4" i="1"/>
  <c r="D7" i="1"/>
  <c r="D9" i="1"/>
  <c r="D6" i="1"/>
  <c r="D5" i="1"/>
</calcChain>
</file>

<file path=xl/sharedStrings.xml><?xml version="1.0" encoding="utf-8"?>
<sst xmlns="http://schemas.openxmlformats.org/spreadsheetml/2006/main" count="178" uniqueCount="118">
  <si>
    <t>Designators</t>
  </si>
  <si>
    <t>Qty</t>
  </si>
  <si>
    <t>Value</t>
  </si>
  <si>
    <t>Package</t>
  </si>
  <si>
    <t>Tol</t>
  </si>
  <si>
    <t>C1,C2,C3,C9,C13,C23,C26</t>
  </si>
  <si>
    <t>10 µF</t>
  </si>
  <si>
    <t>±10–20%</t>
  </si>
  <si>
    <t>C4,C8,C14,C15,C16,C17,C19,C20,C22,C24,C25</t>
  </si>
  <si>
    <t>0.1 µF</t>
  </si>
  <si>
    <t>±10%</t>
  </si>
  <si>
    <t>≥10 V, X7R</t>
  </si>
  <si>
    <t>C5,C21</t>
  </si>
  <si>
    <t>1 µF</t>
  </si>
  <si>
    <t>C6,C7</t>
  </si>
  <si>
    <t>4.7 µF</t>
  </si>
  <si>
    <t>C10,C11</t>
  </si>
  <si>
    <t>22 µF</t>
  </si>
  <si>
    <t>±20%</t>
  </si>
  <si>
    <t>C18</t>
  </si>
  <si>
    <t>2.2 µF</t>
  </si>
  <si>
    <t>CY1,CY2</t>
  </si>
  <si>
    <t>12 pF</t>
  </si>
  <si>
    <t>±5%</t>
  </si>
  <si>
    <t>≥50 V, C0G/NP0</t>
  </si>
  <si>
    <t>Capacitors</t>
  </si>
  <si>
    <t>Power</t>
  </si>
  <si>
    <t>R1,R4,R9,R14,R16,R17,R18,R24,R15,R19,R20</t>
  </si>
  <si>
    <t>10 kΩ</t>
  </si>
  <si>
    <t>±1%</t>
  </si>
  <si>
    <t>1/10 W</t>
  </si>
  <si>
    <t>R2</t>
  </si>
  <si>
    <t>R5</t>
  </si>
  <si>
    <t>3.56 kΩ</t>
  </si>
  <si>
    <t>R7,R8</t>
  </si>
  <si>
    <t>5.1 kΩ</t>
  </si>
  <si>
    <t>R10,R11</t>
  </si>
  <si>
    <t>6 kΩ</t>
  </si>
  <si>
    <t>R12</t>
  </si>
  <si>
    <t>470 kΩ</t>
  </si>
  <si>
    <t>1/8 W</t>
  </si>
  <si>
    <t>R13</t>
  </si>
  <si>
    <t>150 kΩ</t>
  </si>
  <si>
    <t>Resistors</t>
  </si>
  <si>
    <t>Part / Value</t>
  </si>
  <si>
    <t>D1</t>
  </si>
  <si>
    <t>ESD9B5.0ST5G</t>
  </si>
  <si>
    <t>SOD-923</t>
  </si>
  <si>
    <t>D2,D4,D6</t>
  </si>
  <si>
    <t>LED Yellow</t>
  </si>
  <si>
    <t>D3,D5</t>
  </si>
  <si>
    <t>LED Red</t>
  </si>
  <si>
    <t>Part</t>
  </si>
  <si>
    <t>U1</t>
  </si>
  <si>
    <t>BQ24075RGT</t>
  </si>
  <si>
    <t>VQFN-16 3×3 mm</t>
  </si>
  <si>
    <t>U2</t>
  </si>
  <si>
    <t>TPS63070RNMR</t>
  </si>
  <si>
    <t>VQFN</t>
  </si>
  <si>
    <t>U3</t>
  </si>
  <si>
    <t>USBLC6-2SC6</t>
  </si>
  <si>
    <t>SOT-23-6</t>
  </si>
  <si>
    <t>U4</t>
  </si>
  <si>
    <t>U5</t>
  </si>
  <si>
    <t>MDBT42Q-512K</t>
  </si>
  <si>
    <t>Module</t>
  </si>
  <si>
    <t>DWM1</t>
  </si>
  <si>
    <t>DWM1000</t>
  </si>
  <si>
    <t>Y1</t>
  </si>
  <si>
    <t>3.2×2.5-4pin</t>
  </si>
  <si>
    <t>L1</t>
  </si>
  <si>
    <t>1.5 µH</t>
  </si>
  <si>
    <t>1008 (2520)</t>
  </si>
  <si>
    <t>FB1</t>
  </si>
  <si>
    <t>Ferrite bead</t>
  </si>
  <si>
    <t>J1</t>
  </si>
  <si>
    <t>JST-SH 2-pin</t>
  </si>
  <si>
    <t>J2</t>
  </si>
  <si>
    <t>USB-C 16P HRO TYPE-C-31-M-12</t>
  </si>
  <si>
    <t>Receptacle</t>
  </si>
  <si>
    <t>J3</t>
  </si>
  <si>
    <t>JST-SH 4-pin</t>
  </si>
  <si>
    <t>J4</t>
  </si>
  <si>
    <t>JST-SH 5-pin</t>
  </si>
  <si>
    <t>SW1</t>
  </si>
  <si>
    <t>DIP-3, 1.27 mm</t>
  </si>
  <si>
    <t>SMD</t>
  </si>
  <si>
    <t>SW2</t>
  </si>
  <si>
    <t>SW3</t>
  </si>
  <si>
    <t>F1</t>
  </si>
  <si>
    <t>DIODE</t>
  </si>
  <si>
    <t>BM04B-SRSS-TB</t>
  </si>
  <si>
    <t>BM05B-SRSS-TB</t>
  </si>
  <si>
    <t>BM02B-SRSS-TB</t>
  </si>
  <si>
    <t>Connectors &amp; Switches</t>
  </si>
  <si>
    <t>STM32F411CEU6</t>
  </si>
  <si>
    <t>IC &amp; Modules</t>
  </si>
  <si>
    <t>Note</t>
  </si>
  <si>
    <t>SW Tact 2P 3x4mm</t>
  </si>
  <si>
    <t>SPDT PCM12</t>
  </si>
  <si>
    <t>Polyfuse 0.5A</t>
  </si>
  <si>
    <t>R21,22,23</t>
  </si>
  <si>
    <t>2.2 kΩ</t>
  </si>
  <si>
    <t>NX3225SA-24 MHz 8pF</t>
  </si>
  <si>
    <t>≥20 V, X7R/X5R</t>
  </si>
  <si>
    <t>≥20 V, X7R</t>
  </si>
  <si>
    <t>Magnetics / Bead</t>
  </si>
  <si>
    <t>Voltage</t>
  </si>
  <si>
    <t>I_sat ≥1.5 A, DCR thấp</t>
  </si>
  <si>
    <t xml:space="preserve"> 600Ω at 100 MHz, I ≥ 0.5 A</t>
  </si>
  <si>
    <t>UFQFPN-48</t>
  </si>
  <si>
    <t>Other</t>
  </si>
  <si>
    <t xml:space="preserve">ESD9X5.0ST5G </t>
  </si>
  <si>
    <t>Qty/B</t>
  </si>
  <si>
    <t>1.8kΩ</t>
  </si>
  <si>
    <t>1.50 kΩ</t>
  </si>
  <si>
    <t>3.1kΩ</t>
  </si>
  <si>
    <t xml:space="preserve">replace with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</si>
</sst>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/>
    <xf numFmtId="0" fontId="1" fillId="0" borderId="1" xfId="0" applyFont="1" applyBorder="1"/>
    <xf numFmtId="0" fontId="3" fillId="0" borderId="0" xfId="1"/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right" vertical="center" wrapText="1"/>
    </xf>
    <xf numFmtId="0" fontId="3" fillId="0" borderId="1" xfId="1" applyBorder="1"/>
    <xf numFmtId="0" fontId="4" fillId="0" borderId="0" xfId="0" applyFont="1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righ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righ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/>
    <xf numFmtId="0" fontId="3" fillId="4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889A-38D6-483D-A066-079ECBB9A006}">
  <dimension ref="B2:P28"/>
  <sheetViews>
    <sheetView tabSelected="1" topLeftCell="B5" zoomScale="55" zoomScaleNormal="55" workbookViewId="0">
      <selection activeCell="B8" sqref="B8"/>
    </sheetView>
  </sheetViews>
  <sheetFormatPr defaultRowHeight="15" x14ac:dyDescent="0.25"/>
  <cols>
    <col min="2" max="2" width="15.5703125" bestFit="1" customWidth="1"/>
    <col min="3" max="3" width="6" hidden="1" customWidth="1"/>
    <col min="4" max="4" width="9.140625" style="13"/>
    <col min="5" max="5" width="9.140625" customWidth="1"/>
    <col min="8" max="8" width="21.140625" customWidth="1"/>
    <col min="10" max="10" width="12" customWidth="1"/>
    <col min="11" max="11" width="12.5703125" hidden="1" customWidth="1"/>
    <col min="12" max="12" width="9.5703125" style="13" customWidth="1"/>
    <col min="13" max="13" width="15" customWidth="1"/>
    <col min="14" max="14" width="20.7109375" customWidth="1"/>
    <col min="15" max="15" width="12.85546875" customWidth="1"/>
    <col min="16" max="16" width="9.140625" customWidth="1"/>
  </cols>
  <sheetData>
    <row r="2" spans="2:16" ht="31.5" x14ac:dyDescent="0.25">
      <c r="B2" s="23" t="s">
        <v>25</v>
      </c>
      <c r="C2" s="24"/>
      <c r="D2" s="24"/>
      <c r="E2" s="24"/>
      <c r="F2" s="24"/>
      <c r="G2" s="24"/>
      <c r="H2" s="25"/>
      <c r="J2" s="23" t="s">
        <v>96</v>
      </c>
      <c r="K2" s="24"/>
      <c r="L2" s="24"/>
      <c r="M2" s="24"/>
      <c r="N2" s="24"/>
      <c r="O2" s="25"/>
    </row>
    <row r="3" spans="2:16" ht="30" x14ac:dyDescent="0.25">
      <c r="B3" s="1" t="s">
        <v>0</v>
      </c>
      <c r="C3" s="2" t="s">
        <v>113</v>
      </c>
      <c r="D3" s="1" t="s">
        <v>1</v>
      </c>
      <c r="E3" s="1" t="s">
        <v>2</v>
      </c>
      <c r="F3" s="1" t="s">
        <v>3</v>
      </c>
      <c r="G3" s="2" t="s">
        <v>4</v>
      </c>
      <c r="H3" s="1" t="s">
        <v>107</v>
      </c>
      <c r="J3" s="1" t="s">
        <v>0</v>
      </c>
      <c r="K3" s="2" t="s">
        <v>113</v>
      </c>
      <c r="L3" s="1" t="s">
        <v>1</v>
      </c>
      <c r="M3" s="1" t="s">
        <v>52</v>
      </c>
      <c r="N3" s="1" t="s">
        <v>3</v>
      </c>
      <c r="O3" s="6" t="s">
        <v>97</v>
      </c>
    </row>
    <row r="4" spans="2:16" ht="30" x14ac:dyDescent="0.25">
      <c r="B4" s="26" t="s">
        <v>5</v>
      </c>
      <c r="C4" s="27">
        <v>7</v>
      </c>
      <c r="D4" s="28">
        <f>CEILING(C4 * 2, 3)</f>
        <v>15</v>
      </c>
      <c r="E4" s="26" t="s">
        <v>6</v>
      </c>
      <c r="F4" s="26">
        <v>805</v>
      </c>
      <c r="G4" s="27" t="s">
        <v>7</v>
      </c>
      <c r="H4" s="26" t="s">
        <v>104</v>
      </c>
      <c r="J4" s="3" t="s">
        <v>53</v>
      </c>
      <c r="K4" s="4">
        <v>1</v>
      </c>
      <c r="L4" s="12">
        <f>CEILING(K4 * 2, 2)</f>
        <v>2</v>
      </c>
      <c r="M4" s="3" t="s">
        <v>54</v>
      </c>
      <c r="N4" s="3" t="s">
        <v>55</v>
      </c>
      <c r="O4" s="5"/>
    </row>
    <row r="5" spans="2:16" ht="45" x14ac:dyDescent="0.25">
      <c r="B5" s="26" t="s">
        <v>8</v>
      </c>
      <c r="C5" s="27">
        <v>11</v>
      </c>
      <c r="D5" s="28">
        <f>CEILING(C5 * 2, 5)</f>
        <v>25</v>
      </c>
      <c r="E5" s="26" t="s">
        <v>9</v>
      </c>
      <c r="F5" s="26">
        <v>603</v>
      </c>
      <c r="G5" s="27" t="s">
        <v>10</v>
      </c>
      <c r="H5" s="26" t="s">
        <v>11</v>
      </c>
      <c r="J5" s="15" t="s">
        <v>56</v>
      </c>
      <c r="K5" s="4">
        <v>1</v>
      </c>
      <c r="L5" s="17">
        <f>CEILING(K5 * 2,3)</f>
        <v>3</v>
      </c>
      <c r="M5" s="15" t="s">
        <v>57</v>
      </c>
      <c r="N5" s="15" t="s">
        <v>58</v>
      </c>
      <c r="O5" s="18"/>
    </row>
    <row r="6" spans="2:16" x14ac:dyDescent="0.25">
      <c r="B6" s="26" t="s">
        <v>12</v>
      </c>
      <c r="C6" s="27">
        <v>2</v>
      </c>
      <c r="D6" s="28">
        <f>CEILING(C6 * 2, 5)</f>
        <v>5</v>
      </c>
      <c r="E6" s="26" t="s">
        <v>13</v>
      </c>
      <c r="F6" s="26">
        <v>805</v>
      </c>
      <c r="G6" s="27" t="s">
        <v>10</v>
      </c>
      <c r="H6" s="26" t="s">
        <v>11</v>
      </c>
      <c r="J6" s="26" t="s">
        <v>59</v>
      </c>
      <c r="K6" s="27">
        <v>1</v>
      </c>
      <c r="L6" s="28">
        <f t="shared" ref="L6:L9" si="0">CEILING(K6 * 2, 2)</f>
        <v>2</v>
      </c>
      <c r="M6" s="26" t="s">
        <v>60</v>
      </c>
      <c r="N6" s="26" t="s">
        <v>61</v>
      </c>
      <c r="O6" s="29"/>
    </row>
    <row r="7" spans="2:16" ht="30" x14ac:dyDescent="0.25">
      <c r="B7" s="26" t="s">
        <v>14</v>
      </c>
      <c r="C7" s="27">
        <v>2</v>
      </c>
      <c r="D7" s="28">
        <f t="shared" ref="D7:D9" si="1">CEILING(C7 * 2, 5)</f>
        <v>5</v>
      </c>
      <c r="E7" s="26" t="s">
        <v>15</v>
      </c>
      <c r="F7" s="26">
        <v>805</v>
      </c>
      <c r="G7" s="27" t="s">
        <v>7</v>
      </c>
      <c r="H7" s="26" t="s">
        <v>11</v>
      </c>
      <c r="J7" s="15" t="s">
        <v>62</v>
      </c>
      <c r="K7" s="16">
        <v>1</v>
      </c>
      <c r="L7" s="17">
        <f>CEILING(K7 * 2,3)</f>
        <v>3</v>
      </c>
      <c r="M7" s="15" t="s">
        <v>95</v>
      </c>
      <c r="N7" s="15" t="s">
        <v>110</v>
      </c>
      <c r="O7" s="18"/>
    </row>
    <row r="8" spans="2:16" x14ac:dyDescent="0.25">
      <c r="B8" s="3" t="s">
        <v>16</v>
      </c>
      <c r="C8" s="4">
        <v>3</v>
      </c>
      <c r="D8" s="12">
        <f>CEILING(C8 * 2, 4)</f>
        <v>8</v>
      </c>
      <c r="E8" s="3" t="s">
        <v>17</v>
      </c>
      <c r="F8" s="3">
        <v>805</v>
      </c>
      <c r="G8" s="4" t="s">
        <v>18</v>
      </c>
      <c r="H8" s="3" t="s">
        <v>105</v>
      </c>
      <c r="J8" s="15" t="s">
        <v>63</v>
      </c>
      <c r="K8" s="16">
        <v>1</v>
      </c>
      <c r="L8" s="17">
        <f>CEILING(K8 * 2, 3)</f>
        <v>3</v>
      </c>
      <c r="M8" s="15" t="s">
        <v>64</v>
      </c>
      <c r="N8" s="15" t="s">
        <v>65</v>
      </c>
      <c r="O8" s="18"/>
      <c r="P8" t="s">
        <v>117</v>
      </c>
    </row>
    <row r="9" spans="2:16" x14ac:dyDescent="0.25">
      <c r="B9" s="26" t="s">
        <v>19</v>
      </c>
      <c r="C9" s="27">
        <v>1</v>
      </c>
      <c r="D9" s="28">
        <f t="shared" si="1"/>
        <v>5</v>
      </c>
      <c r="E9" s="26" t="s">
        <v>20</v>
      </c>
      <c r="F9" s="26">
        <v>805</v>
      </c>
      <c r="G9" s="27" t="s">
        <v>10</v>
      </c>
      <c r="H9" s="26" t="s">
        <v>11</v>
      </c>
      <c r="J9" s="3" t="s">
        <v>66</v>
      </c>
      <c r="K9" s="4">
        <v>1</v>
      </c>
      <c r="L9" s="12">
        <f t="shared" si="0"/>
        <v>2</v>
      </c>
      <c r="M9" s="3" t="s">
        <v>67</v>
      </c>
      <c r="N9" s="3" t="s">
        <v>65</v>
      </c>
      <c r="O9" s="5"/>
    </row>
    <row r="10" spans="2:16" ht="30" x14ac:dyDescent="0.25">
      <c r="B10" s="19" t="s">
        <v>21</v>
      </c>
      <c r="C10" s="20">
        <v>2</v>
      </c>
      <c r="D10" s="21">
        <f>CEILING(C10 * 2, 5)</f>
        <v>5</v>
      </c>
      <c r="E10" s="19" t="s">
        <v>22</v>
      </c>
      <c r="F10" s="19">
        <v>603</v>
      </c>
      <c r="G10" s="20" t="s">
        <v>23</v>
      </c>
      <c r="H10" s="19" t="s">
        <v>24</v>
      </c>
      <c r="J10" s="19" t="s">
        <v>68</v>
      </c>
      <c r="K10" s="20">
        <v>1</v>
      </c>
      <c r="L10" s="21">
        <f>CEILING(K10 * 2, 3)</f>
        <v>3</v>
      </c>
      <c r="M10" s="19" t="s">
        <v>103</v>
      </c>
      <c r="N10" s="19" t="s">
        <v>69</v>
      </c>
      <c r="O10" s="22"/>
    </row>
    <row r="11" spans="2:16" ht="31.5" x14ac:dyDescent="0.25">
      <c r="B11" s="23" t="s">
        <v>43</v>
      </c>
      <c r="C11" s="24"/>
      <c r="D11" s="24"/>
      <c r="E11" s="24"/>
      <c r="F11" s="24"/>
      <c r="G11" s="24"/>
      <c r="H11" s="25"/>
      <c r="J11" s="23" t="s">
        <v>106</v>
      </c>
      <c r="K11" s="24"/>
      <c r="L11" s="24"/>
      <c r="M11" s="24"/>
      <c r="N11" s="24"/>
      <c r="O11" s="25"/>
    </row>
    <row r="12" spans="2:16" ht="30" x14ac:dyDescent="0.25">
      <c r="B12" s="1" t="s">
        <v>0</v>
      </c>
      <c r="C12" s="2" t="s">
        <v>113</v>
      </c>
      <c r="D12" s="1" t="s">
        <v>1</v>
      </c>
      <c r="E12" s="1" t="s">
        <v>2</v>
      </c>
      <c r="F12" s="1" t="s">
        <v>3</v>
      </c>
      <c r="G12" s="2" t="s">
        <v>4</v>
      </c>
      <c r="H12" s="1" t="s">
        <v>26</v>
      </c>
      <c r="J12" s="1" t="s">
        <v>0</v>
      </c>
      <c r="K12" s="2" t="s">
        <v>113</v>
      </c>
      <c r="L12" s="1" t="s">
        <v>1</v>
      </c>
      <c r="M12" s="1" t="s">
        <v>44</v>
      </c>
      <c r="N12" s="1" t="s">
        <v>3</v>
      </c>
      <c r="O12" s="1" t="s">
        <v>97</v>
      </c>
    </row>
    <row r="13" spans="2:16" ht="45" x14ac:dyDescent="0.25">
      <c r="B13" s="26" t="s">
        <v>27</v>
      </c>
      <c r="C13" s="27">
        <v>11</v>
      </c>
      <c r="D13" s="28">
        <f>CEILING(C13 * 2, 5)</f>
        <v>25</v>
      </c>
      <c r="E13" s="26" t="s">
        <v>28</v>
      </c>
      <c r="F13" s="26">
        <v>603</v>
      </c>
      <c r="G13" s="27" t="s">
        <v>29</v>
      </c>
      <c r="H13" s="26" t="s">
        <v>30</v>
      </c>
      <c r="J13" s="15" t="s">
        <v>70</v>
      </c>
      <c r="K13" s="16">
        <v>1</v>
      </c>
      <c r="L13" s="17">
        <f>CEILING(K13 * 2, 5)</f>
        <v>5</v>
      </c>
      <c r="M13" s="15" t="s">
        <v>71</v>
      </c>
      <c r="N13" s="15" t="s">
        <v>72</v>
      </c>
      <c r="O13" s="15" t="s">
        <v>108</v>
      </c>
    </row>
    <row r="14" spans="2:16" ht="30" x14ac:dyDescent="0.25">
      <c r="B14" s="26" t="s">
        <v>31</v>
      </c>
      <c r="C14" s="27">
        <v>1</v>
      </c>
      <c r="D14" s="28">
        <f t="shared" ref="D14:D22" si="2">CEILING(C14 * 2, 5)</f>
        <v>5</v>
      </c>
      <c r="E14" s="26" t="s">
        <v>116</v>
      </c>
      <c r="F14" s="26">
        <v>603</v>
      </c>
      <c r="G14" s="27" t="s">
        <v>29</v>
      </c>
      <c r="H14" s="26" t="s">
        <v>30</v>
      </c>
      <c r="J14" s="26" t="s">
        <v>73</v>
      </c>
      <c r="K14" s="27">
        <v>1</v>
      </c>
      <c r="L14" s="28">
        <f>CEILING(K14 * 2, 3)</f>
        <v>3</v>
      </c>
      <c r="M14" s="26" t="s">
        <v>74</v>
      </c>
      <c r="N14" s="27">
        <v>603</v>
      </c>
      <c r="O14" s="26" t="s">
        <v>109</v>
      </c>
    </row>
    <row r="15" spans="2:16" ht="31.5" x14ac:dyDescent="0.25">
      <c r="B15" s="3" t="s">
        <v>32</v>
      </c>
      <c r="C15" s="4">
        <v>1</v>
      </c>
      <c r="D15" s="12">
        <f t="shared" si="2"/>
        <v>5</v>
      </c>
      <c r="E15" s="3" t="s">
        <v>33</v>
      </c>
      <c r="F15" s="3">
        <v>603</v>
      </c>
      <c r="G15" s="4" t="s">
        <v>29</v>
      </c>
      <c r="H15" s="3" t="s">
        <v>30</v>
      </c>
      <c r="I15" s="7"/>
      <c r="J15" s="23" t="s">
        <v>94</v>
      </c>
      <c r="K15" s="24"/>
      <c r="L15" s="24"/>
      <c r="M15" s="24"/>
      <c r="N15" s="24"/>
      <c r="O15" s="25"/>
    </row>
    <row r="16" spans="2:16" x14ac:dyDescent="0.25">
      <c r="B16" s="3" t="s">
        <v>34</v>
      </c>
      <c r="C16" s="4">
        <v>2</v>
      </c>
      <c r="D16" s="12">
        <f t="shared" si="2"/>
        <v>5</v>
      </c>
      <c r="E16" s="3" t="s">
        <v>35</v>
      </c>
      <c r="F16" s="3">
        <v>603</v>
      </c>
      <c r="G16" s="4" t="s">
        <v>29</v>
      </c>
      <c r="H16" s="3" t="s">
        <v>30</v>
      </c>
      <c r="J16" s="1" t="s">
        <v>0</v>
      </c>
      <c r="K16" s="2" t="s">
        <v>113</v>
      </c>
      <c r="L16" s="1" t="s">
        <v>1</v>
      </c>
      <c r="M16" s="1" t="s">
        <v>52</v>
      </c>
      <c r="N16" s="1" t="s">
        <v>3</v>
      </c>
      <c r="O16" s="6" t="s">
        <v>97</v>
      </c>
    </row>
    <row r="17" spans="2:15" ht="30" x14ac:dyDescent="0.25">
      <c r="B17" s="26" t="s">
        <v>36</v>
      </c>
      <c r="C17" s="27">
        <v>2</v>
      </c>
      <c r="D17" s="28">
        <f t="shared" si="2"/>
        <v>5</v>
      </c>
      <c r="E17" s="26" t="s">
        <v>37</v>
      </c>
      <c r="F17" s="26">
        <v>603</v>
      </c>
      <c r="G17" s="27" t="s">
        <v>29</v>
      </c>
      <c r="H17" s="26" t="s">
        <v>30</v>
      </c>
      <c r="J17" s="26" t="s">
        <v>77</v>
      </c>
      <c r="K17" s="27">
        <v>1</v>
      </c>
      <c r="L17" s="28">
        <f>CEILING(K17 * 2, 3)</f>
        <v>3</v>
      </c>
      <c r="M17" s="26" t="s">
        <v>78</v>
      </c>
      <c r="N17" s="26" t="s">
        <v>79</v>
      </c>
      <c r="O17" s="30"/>
    </row>
    <row r="18" spans="2:15" x14ac:dyDescent="0.25">
      <c r="B18" s="26" t="s">
        <v>38</v>
      </c>
      <c r="C18" s="27">
        <v>1</v>
      </c>
      <c r="D18" s="28">
        <f t="shared" si="2"/>
        <v>5</v>
      </c>
      <c r="E18" s="26" t="s">
        <v>39</v>
      </c>
      <c r="F18" s="26">
        <v>805</v>
      </c>
      <c r="G18" s="27" t="s">
        <v>29</v>
      </c>
      <c r="H18" s="26" t="s">
        <v>40</v>
      </c>
      <c r="J18" s="15" t="s">
        <v>75</v>
      </c>
      <c r="K18" s="16">
        <v>1</v>
      </c>
      <c r="L18" s="17">
        <f>CEILING(K18 * 2, 5)</f>
        <v>5</v>
      </c>
      <c r="M18" s="15" t="s">
        <v>93</v>
      </c>
      <c r="N18" s="15" t="s">
        <v>76</v>
      </c>
      <c r="O18" s="18"/>
    </row>
    <row r="19" spans="2:15" x14ac:dyDescent="0.25">
      <c r="B19" s="26" t="s">
        <v>41</v>
      </c>
      <c r="C19" s="27">
        <v>1</v>
      </c>
      <c r="D19" s="28">
        <f t="shared" si="2"/>
        <v>5</v>
      </c>
      <c r="E19" s="26" t="s">
        <v>42</v>
      </c>
      <c r="F19" s="26">
        <v>805</v>
      </c>
      <c r="G19" s="27" t="s">
        <v>29</v>
      </c>
      <c r="H19" s="26" t="s">
        <v>40</v>
      </c>
      <c r="J19" s="15" t="s">
        <v>80</v>
      </c>
      <c r="K19" s="16">
        <v>1</v>
      </c>
      <c r="L19" s="17">
        <v>5</v>
      </c>
      <c r="M19" s="15" t="s">
        <v>91</v>
      </c>
      <c r="N19" s="15" t="s">
        <v>81</v>
      </c>
      <c r="O19" s="18"/>
    </row>
    <row r="20" spans="2:15" x14ac:dyDescent="0.25">
      <c r="B20" s="26" t="s">
        <v>101</v>
      </c>
      <c r="C20" s="27">
        <v>3</v>
      </c>
      <c r="D20" s="28">
        <f>CEILING(C20 * 2, 4)</f>
        <v>8</v>
      </c>
      <c r="E20" s="26" t="s">
        <v>102</v>
      </c>
      <c r="F20" s="26">
        <v>603</v>
      </c>
      <c r="G20" s="27" t="s">
        <v>29</v>
      </c>
      <c r="H20" s="26" t="s">
        <v>30</v>
      </c>
      <c r="J20" s="15" t="s">
        <v>82</v>
      </c>
      <c r="K20" s="16">
        <v>1</v>
      </c>
      <c r="L20" s="17">
        <f>CEILING(K20 * 2, 5)</f>
        <v>5</v>
      </c>
      <c r="M20" s="15" t="s">
        <v>92</v>
      </c>
      <c r="N20" s="15" t="s">
        <v>83</v>
      </c>
      <c r="O20" s="18"/>
    </row>
    <row r="21" spans="2:15" x14ac:dyDescent="0.25">
      <c r="B21" s="29"/>
      <c r="C21" s="27">
        <v>1</v>
      </c>
      <c r="D21" s="28">
        <f t="shared" si="2"/>
        <v>5</v>
      </c>
      <c r="E21" s="29" t="s">
        <v>115</v>
      </c>
      <c r="F21" s="26">
        <v>603</v>
      </c>
      <c r="G21" s="27" t="s">
        <v>29</v>
      </c>
      <c r="H21" s="26" t="s">
        <v>30</v>
      </c>
      <c r="I21" s="7"/>
      <c r="J21" s="15" t="s">
        <v>84</v>
      </c>
      <c r="K21" s="16">
        <v>1</v>
      </c>
      <c r="L21" s="17">
        <f>CEILING(K21 * 2, 5)</f>
        <v>5</v>
      </c>
      <c r="M21" s="15" t="s">
        <v>85</v>
      </c>
      <c r="N21" s="15" t="s">
        <v>86</v>
      </c>
      <c r="O21" s="18"/>
    </row>
    <row r="22" spans="2:15" ht="30" x14ac:dyDescent="0.25">
      <c r="B22" s="29"/>
      <c r="C22" s="27">
        <v>1</v>
      </c>
      <c r="D22" s="28">
        <f t="shared" si="2"/>
        <v>5</v>
      </c>
      <c r="E22" s="26" t="s">
        <v>114</v>
      </c>
      <c r="F22" s="26">
        <v>603</v>
      </c>
      <c r="G22" s="27" t="s">
        <v>29</v>
      </c>
      <c r="H22" s="26" t="s">
        <v>30</v>
      </c>
      <c r="I22" s="7"/>
      <c r="J22" s="26" t="s">
        <v>87</v>
      </c>
      <c r="K22" s="27">
        <v>2</v>
      </c>
      <c r="L22" s="28">
        <f>CEILING(K22 * 2, 5)</f>
        <v>5</v>
      </c>
      <c r="M22" s="26" t="s">
        <v>98</v>
      </c>
      <c r="N22" s="26" t="s">
        <v>86</v>
      </c>
      <c r="O22" s="30"/>
    </row>
    <row r="23" spans="2:15" ht="31.5" x14ac:dyDescent="0.25">
      <c r="B23" s="23" t="s">
        <v>90</v>
      </c>
      <c r="C23" s="24"/>
      <c r="D23" s="24"/>
      <c r="E23" s="24"/>
      <c r="F23" s="24"/>
      <c r="G23" s="24"/>
      <c r="H23" s="25"/>
      <c r="J23" s="26" t="s">
        <v>88</v>
      </c>
      <c r="K23" s="27">
        <v>1</v>
      </c>
      <c r="L23" s="28">
        <f>CEILING(K23 * 2, 3)</f>
        <v>3</v>
      </c>
      <c r="M23" s="26" t="s">
        <v>99</v>
      </c>
      <c r="N23" s="26" t="s">
        <v>86</v>
      </c>
      <c r="O23" s="30"/>
    </row>
    <row r="24" spans="2:15" ht="30" x14ac:dyDescent="0.25">
      <c r="B24" s="1" t="s">
        <v>0</v>
      </c>
      <c r="C24" s="2" t="s">
        <v>113</v>
      </c>
      <c r="D24" s="1" t="s">
        <v>1</v>
      </c>
      <c r="E24" s="1" t="s">
        <v>44</v>
      </c>
      <c r="F24" s="1" t="s">
        <v>3</v>
      </c>
      <c r="G24" s="1" t="s">
        <v>97</v>
      </c>
      <c r="H24" s="5"/>
      <c r="J24" s="26" t="s">
        <v>89</v>
      </c>
      <c r="K24" s="27">
        <v>1</v>
      </c>
      <c r="L24" s="28">
        <f>CEILING(K24 * 2, 3)</f>
        <v>3</v>
      </c>
      <c r="M24" s="26" t="s">
        <v>100</v>
      </c>
      <c r="N24" s="26">
        <v>1206</v>
      </c>
      <c r="O24" s="29"/>
    </row>
    <row r="25" spans="2:15" ht="31.5" x14ac:dyDescent="0.25">
      <c r="B25" s="15" t="s">
        <v>45</v>
      </c>
      <c r="C25" s="16">
        <v>1</v>
      </c>
      <c r="D25" s="17">
        <f>CEILING(C25 * 2,3)</f>
        <v>3</v>
      </c>
      <c r="E25" s="15" t="s">
        <v>46</v>
      </c>
      <c r="F25" s="15" t="s">
        <v>47</v>
      </c>
      <c r="G25" s="15"/>
      <c r="H25" s="5"/>
      <c r="I25" s="11"/>
      <c r="J25" s="23" t="s">
        <v>111</v>
      </c>
      <c r="K25" s="24"/>
      <c r="L25" s="24"/>
      <c r="M25" s="24"/>
      <c r="N25" s="24"/>
      <c r="O25" s="25"/>
    </row>
    <row r="26" spans="2:15" ht="30" x14ac:dyDescent="0.25">
      <c r="B26" s="3"/>
      <c r="C26" s="4">
        <v>1</v>
      </c>
      <c r="D26" s="12">
        <f>CEILING(C26 * 1, 3)</f>
        <v>3</v>
      </c>
      <c r="E26" s="3" t="s">
        <v>112</v>
      </c>
      <c r="F26" s="3" t="s">
        <v>47</v>
      </c>
      <c r="G26" s="7"/>
      <c r="H26" s="5"/>
      <c r="I26" s="11"/>
      <c r="J26" s="1" t="s">
        <v>0</v>
      </c>
      <c r="K26" s="2" t="s">
        <v>113</v>
      </c>
      <c r="L26" s="1" t="s">
        <v>1</v>
      </c>
      <c r="M26" s="1" t="s">
        <v>52</v>
      </c>
      <c r="N26" s="1" t="s">
        <v>3</v>
      </c>
      <c r="O26" s="6" t="s">
        <v>97</v>
      </c>
    </row>
    <row r="27" spans="2:15" ht="30" x14ac:dyDescent="0.25">
      <c r="B27" s="26" t="s">
        <v>48</v>
      </c>
      <c r="C27" s="27">
        <v>3</v>
      </c>
      <c r="D27" s="28">
        <f>CEILING(C27 * 2, 4)</f>
        <v>8</v>
      </c>
      <c r="E27" s="26" t="s">
        <v>49</v>
      </c>
      <c r="F27" s="26">
        <v>603</v>
      </c>
      <c r="G27" s="26"/>
      <c r="H27" s="26"/>
      <c r="I27" s="11"/>
      <c r="J27" s="5"/>
      <c r="K27" s="9"/>
      <c r="L27" s="14"/>
      <c r="M27" s="8"/>
      <c r="N27" s="5"/>
      <c r="O27" s="10"/>
    </row>
    <row r="28" spans="2:15" x14ac:dyDescent="0.25">
      <c r="B28" s="26" t="s">
        <v>50</v>
      </c>
      <c r="C28" s="27">
        <v>2</v>
      </c>
      <c r="D28" s="28">
        <f t="shared" ref="D28" si="3">CEILING(C28 * 2, 5)</f>
        <v>5</v>
      </c>
      <c r="E28" s="26" t="s">
        <v>51</v>
      </c>
      <c r="F28" s="26">
        <v>603</v>
      </c>
      <c r="G28" s="26"/>
      <c r="H28" s="29"/>
    </row>
  </sheetData>
  <mergeCells count="7">
    <mergeCell ref="J25:O25"/>
    <mergeCell ref="B23:H23"/>
    <mergeCell ref="B2:H2"/>
    <mergeCell ref="B11:H11"/>
    <mergeCell ref="J15:O15"/>
    <mergeCell ref="J11:O11"/>
    <mergeCell ref="J2:O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 ter</dc:creator>
  <cp:lastModifiedBy>hun ter</cp:lastModifiedBy>
  <cp:lastPrinted>2025-10-07T05:59:46Z</cp:lastPrinted>
  <dcterms:created xsi:type="dcterms:W3CDTF">2025-10-05T09:43:23Z</dcterms:created>
  <dcterms:modified xsi:type="dcterms:W3CDTF">2025-10-30T18:41:03Z</dcterms:modified>
</cp:coreProperties>
</file>